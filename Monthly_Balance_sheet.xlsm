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cognizantonline-my.sharepoint.com/personal/2401040_cognizant_com/Documents/Documents/"/>
    </mc:Choice>
  </mc:AlternateContent>
  <xr:revisionPtr revIDLastSave="1984" documentId="13_ncr:1_{6A041FEE-FC68-47EC-AB54-FA80EE19A01C}" xr6:coauthVersionLast="47" xr6:coauthVersionMax="47" xr10:uidLastSave="{E4B6573E-A829-409B-974B-2C7206E4B546}"/>
  <bookViews>
    <workbookView xWindow="-110" yWindow="-110" windowWidth="19420" windowHeight="10300" activeTab="1" xr2:uid="{F655F9CF-DB33-40E9-8268-F975A784281C}"/>
  </bookViews>
  <sheets>
    <sheet name="Balance sheet" sheetId="3" r:id="rId1"/>
    <sheet name="Investment Expenses" sheetId="2" r:id="rId2"/>
    <sheet name="Personal Expenses" sheetId="1" r:id="rId3"/>
  </sheets>
  <definedNames>
    <definedName name="_xlcn.WorksheetConnection_Monthly_Balance_sheet.xlsxTable2" hidden="1">Table2[]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Monthly_Balance_sheet.xlsx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" l="1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I2" i="2"/>
  <c r="K2" i="2"/>
  <c r="J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E1171A-8B59-49DE-BFAB-A63FF30C893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ABC807C-5F9E-4B2F-AD95-52E02AA58651}" name="WorksheetConnection_Monthly_Balance_sheet.xlsx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_xlcn.WorksheetConnection_Monthly_Balance_sheet.xlsxTable2"/>
        </x15:connection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<sst xmlns="http://schemas.openxmlformats.org/spreadsheetml/2006/main" count="221" uniqueCount="61">
  <si>
    <t>Date</t>
  </si>
  <si>
    <t>Description</t>
  </si>
  <si>
    <t>Amount</t>
  </si>
  <si>
    <t>Birthday for Dhanush and bilal</t>
  </si>
  <si>
    <t xml:space="preserve">Date </t>
  </si>
  <si>
    <t>Investement Type</t>
  </si>
  <si>
    <t>Asset Name</t>
  </si>
  <si>
    <t>Quantity</t>
  </si>
  <si>
    <t>Investmet Balance</t>
  </si>
  <si>
    <t>Month</t>
  </si>
  <si>
    <t>June</t>
  </si>
  <si>
    <t xml:space="preserve">Month </t>
  </si>
  <si>
    <t xml:space="preserve">Total Savings </t>
  </si>
  <si>
    <t>Total Expenses</t>
  </si>
  <si>
    <t xml:space="preserve">Total Investment </t>
  </si>
  <si>
    <t>Total Amount</t>
  </si>
  <si>
    <t xml:space="preserve">Equity </t>
  </si>
  <si>
    <t>Natco</t>
  </si>
  <si>
    <t>Maggi</t>
  </si>
  <si>
    <t>Sum of Total Expenses</t>
  </si>
  <si>
    <t>Sum of Total Investment</t>
  </si>
  <si>
    <t>Values</t>
  </si>
  <si>
    <t>Average of Total Savings</t>
  </si>
  <si>
    <t>Auto</t>
  </si>
  <si>
    <t>Total</t>
  </si>
  <si>
    <t>juice</t>
  </si>
  <si>
    <t>Dosa</t>
  </si>
  <si>
    <t>Gold ETF</t>
  </si>
  <si>
    <t>Nippon Bees</t>
  </si>
  <si>
    <t>Gold Invested</t>
  </si>
  <si>
    <t>Remaining</t>
  </si>
  <si>
    <t>soup</t>
  </si>
  <si>
    <t xml:space="preserve"> juice </t>
  </si>
  <si>
    <t>Mithies</t>
  </si>
  <si>
    <t>Muesli</t>
  </si>
  <si>
    <t>coffee</t>
  </si>
  <si>
    <t>Egg</t>
  </si>
  <si>
    <t>ITC</t>
  </si>
  <si>
    <t>Equity Balance</t>
  </si>
  <si>
    <t>Kalaan</t>
  </si>
  <si>
    <t xml:space="preserve">Auto </t>
  </si>
  <si>
    <t>Briyani</t>
  </si>
  <si>
    <t xml:space="preserve">Soup </t>
  </si>
  <si>
    <t>Banana</t>
  </si>
  <si>
    <t xml:space="preserve">soup </t>
  </si>
  <si>
    <t>snacks</t>
  </si>
  <si>
    <t>Chicken rice</t>
  </si>
  <si>
    <t>South Indian Bank</t>
  </si>
  <si>
    <t xml:space="preserve">June </t>
  </si>
  <si>
    <t>Skin care</t>
  </si>
  <si>
    <t>Egg Briyani</t>
  </si>
  <si>
    <t>maggi</t>
  </si>
  <si>
    <t>Turf</t>
  </si>
  <si>
    <t>Snacks</t>
  </si>
  <si>
    <t>Dresses</t>
  </si>
  <si>
    <t>chicken rice</t>
  </si>
  <si>
    <t>water bottle</t>
  </si>
  <si>
    <t>rice</t>
  </si>
  <si>
    <t>Kari Dosa</t>
  </si>
  <si>
    <t>July</t>
  </si>
  <si>
    <t>IDFC First 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</si>
</sst>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0" borderId="0" xfId="0" pivotButton="1"/>
    <xf numFmtId="0" fontId="2" fillId="2" borderId="0" xfId="0" applyFont="1" applyFill="1"/>
    <xf numFmtId="14" fontId="2" fillId="2" borderId="0" xfId="0" applyNumberFormat="1" applyFont="1" applyFill="1"/>
    <xf numFmtId="0" fontId="0" fillId="0" borderId="1" xfId="0" applyBorder="1"/>
    <xf numFmtId="14" fontId="0" fillId="3" borderId="2" xfId="0" applyNumberFormat="1" applyFill="1" applyBorder="1"/>
    <xf numFmtId="164" fontId="0" fillId="3" borderId="2" xfId="0" applyNumberFormat="1" applyFill="1" applyBorder="1"/>
    <xf numFmtId="164" fontId="0" fillId="3" borderId="3" xfId="0" applyNumberFormat="1" applyFill="1" applyBorder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3">
    <dxf>
      <numFmt numFmtId="164" formatCode="m/d/yyyy"/>
    </dxf>
    <dxf>
      <numFmt numFmtId="0" formatCode="General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[Monthly_Balance_sheet.xlsm]Balance sheet!PivotTable1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'Balance sheet'!$P$8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70-4F5C-9ECE-9CA933ECF57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70-4F5C-9ECE-9CA933ECF57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70-4F5C-9ECE-9CA933ECF573}"/>
              </c:ext>
            </c:extLst>
          </c:dPt>
          <c:cat>
            <c:strRef>
              <c:f>'Balance sheet'!$O$9:$O$11</c:f>
              <c:strCache>
                <c:ptCount val="3"/>
                <c:pt idx="0">
                  <c:v>Sum of Total Expenses</c:v>
                </c:pt>
                <c:pt idx="1">
                  <c:v>Sum of Total Investment</c:v>
                </c:pt>
                <c:pt idx="2">
                  <c:v>Average of Total Savings</c:v>
                </c:pt>
              </c:strCache>
            </c:strRef>
          </c:cat>
          <c:val>
            <c:numRef>
              <c:f>'Balance sheet'!$P$9:$P$11</c:f>
              <c:numCache>
                <c:formatCode>General</c:formatCode>
                <c:ptCount val="3"/>
                <c:pt idx="0">
                  <c:v>1825</c:v>
                </c:pt>
                <c:pt idx="1">
                  <c:v>3000</c:v>
                </c:pt>
                <c:pt idx="2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51-4C2F-A116-7E846A823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600075</xdr:colOff>
      <xdr:row>1</xdr:row>
      <xdr:rowOff>25400</xdr:rowOff>
    </xdr:from>
    <xdr:to>
      <xdr:col>13</xdr:col>
      <xdr:colOff>371475</xdr:colOff>
      <xdr:row>16</xdr:row>
      <xdr:rowOff>6350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6523FE8-E286-CAC0-AB7F-86D08E2B5E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NU, Vetrivel (Contractor)" refreshedDate="45812.603519560187" backgroundQuery="1" createdVersion="8" refreshedVersion="8" minRefreshableVersion="3" recordCount="0" supportSubquery="1" supportAdvancedDrill="1" xr:uid="{BFCDC732-4C9F-4978-B524-606712FCD524}">
  <cacheSource type="external" connectionId="1"/>
  <cacheFields count="3">
    <cacheField name="[Measures].[Sum of Total Expenses]" caption="Sum of Total Expenses" numFmtId="0" hierarchy="7" level="32767"/>
    <cacheField name="[Measures].[Sum of Total Investment]" caption="Sum of Total Investment" numFmtId="0" hierarchy="8" level="32767"/>
    <cacheField name="[Measures].[Average of Total Savings]" caption="Average of Total Savings" numFmtId="0" hierarchy="12" level="32767"/>
  </cacheFields>
  <cacheHierarchies count="13">
    <cacheHierarchy uniqueName="[Table2].[Month]" caption="Month" attribute="1" defaultMemberUniqueName="[Table2].[Month].[All]" allUniqueName="[Table2].[Month].[All]" dimensionUniqueName="[Table2]" displayFolder="" count="0" memberValueDatatype="130" unbalanced="0"/>
    <cacheHierarchy uniqueName="[Table2].[Total Expenses]" caption="Total Expenses" attribute="1" defaultMemberUniqueName="[Table2].[Total Expenses].[All]" allUniqueName="[Table2].[Total Expenses].[All]" dimensionUniqueName="[Table2]" displayFolder="" count="0" memberValueDatatype="20" unbalanced="0"/>
    <cacheHierarchy uniqueName="[Table2].[Total Investment]" caption="Total Investment" attribute="1" defaultMemberUniqueName="[Table2].[Total Investment].[All]" allUniqueName="[Table2].[Total Investment].[All]" dimensionUniqueName="[Table2]" displayFolder="" count="0" memberValueDatatype="20" unbalanced="0"/>
    <cacheHierarchy uniqueName="[Table2].[Total Savings]" caption="Total Savings" attribute="1" defaultMemberUniqueName="[Table2].[Total Savings].[All]" allUniqueName="[Table2].[Total Savings].[All]" dimensionUniqueName="[Table2]" displayFolder="" count="0" memberValueDatatype="20" unbalanced="0"/>
    <cacheHierarchy uniqueName="[Table2].[Total Amount]" caption="Total Amount" attribute="1" defaultMemberUniqueName="[Table2].[Total Amount].[All]" allUniqueName="[Table2].[Total Amount].[All]" dimensionUniqueName="[Table2]" displayFolder="" count="0" memberValueDatatype="20" unbalanced="0"/>
    <cacheHierarchy uniqueName="[Measures].[__XL_Count Table2]" caption="__XL_Count Table2" measure="1" displayFolder="" measureGroup="Table2" count="0" hidden="1"/>
    <cacheHierarchy uniqueName="[Measures].[__No measures defined]" caption="__No measures defined" measure="1" displayFolder="" count="0" hidden="1"/>
    <cacheHierarchy uniqueName="[Measures].[Sum of Total Expenses]" caption="Sum of Total Expenses" measure="1" displayFolder="" measureGroup="Table2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Total Investment]" caption="Sum of Total Investment" measure="1" displayFolder="" measureGroup="Table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al Savings]" caption="Sum of Total Savings" measure="1" displayFolder="" measureGroup="Table2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Total Amount]" caption="Sum of Total Amount" measure="1" displayFolder="" measureGroup="Table2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Average of Total Investment]" caption="Average of Total Investment" measure="1" displayFolder="" measureGroup="Table2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Average of Total Savings]" caption="Average of Total Savings" measure="1" displayFolder="" measureGroup="Table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Table2" uniqueName="[Table2]" caption="Table2"/>
  </dimensions>
  <measureGroups count="1">
    <measureGroup name="Table2" caption="Table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8580F3-5B1F-4C71-9E69-34A7B35A951A}" name="PivotTable1" cacheId="0" dataOnRows="1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multipleFieldFilters="0" chartFormat="7">
  <location ref="O8:P11" firstHeaderRow="1" firstDataRow="1" firstDataCol="1"/>
  <pivotFields count="3">
    <pivotField dataField="1" showAll="0"/>
    <pivotField dataField="1" showAll="0"/>
    <pivotField dataField="1" showAll="0"/>
  </pivotFields>
  <rowFields count="1">
    <field x="-2"/>
  </rowFields>
  <rowItems count="3">
    <i>
      <x/>
    </i>
    <i i="1">
      <x v="1"/>
    </i>
    <i i="2">
      <x v="2"/>
    </i>
  </rowItems>
  <colItems count="1">
    <i/>
  </colItems>
  <dataFields count="3">
    <dataField name="Sum of Total Expenses" fld="0" baseField="0" baseItem="0"/>
    <dataField name="Sum of Total Investment" fld="1" baseField="0" baseItem="0"/>
    <dataField name="Average of Total Savings" fld="2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13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Average of Total Savings"/>
  </pivotHierarchies>
  <pivotTableStyleInfo name="PivotStyleLight16" showRowHeaders="1" showColHeaders="1" showRowStripes="0" showColStripes="0" showLastColumn="1"/>
  <rowHierarchiesUsage count="1"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onthly_Balance_sheet.xlsx!Table2">
        <x15:activeTabTopLevelEntity name="[Table2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AAE703-FA4B-45B3-B727-F554197033F2}" name="Table2" displayName="Table2" ref="A1:E4" totalsRowShown="0">
  <autoFilter ref="A1:E4" xr:uid="{00AAE703-FA4B-45B3-B727-F554197033F2}"/>
  <tableColumns count="5">
    <tableColumn id="1" xr3:uid="{0C70CE0E-3AF1-46D4-8C4B-9BA8EF873619}" name="Month "/>
    <tableColumn id="2" xr3:uid="{21488BC4-A1FF-416D-86A7-F99390B21985}" name="Total Expenses"/>
    <tableColumn id="3" xr3:uid="{53AA103F-93FC-45BF-8C60-2E4FE70FD107}" name="Total Investment "/>
    <tableColumn id="4" xr3:uid="{9931F023-5A6E-4268-BB1B-8C18EEF9E629}" name="Total Savings "/>
    <tableColumn id="5" xr3:uid="{AAFF77BC-4DDC-4E13-807B-B5014F37775D}" name="Total 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46EAB0-2DB5-4461-BF01-099E80F71252}" name="Table4" displayName="Table4" ref="A1:G37" totalsRowShown="0">
  <autoFilter ref="A1:G37" xr:uid="{DA46EAB0-2DB5-4461-BF01-099E80F71252}"/>
  <tableColumns count="7">
    <tableColumn id="1" xr3:uid="{B36CE1D5-2164-4CD5-8378-1624BA1ED410}" name="Month"/>
    <tableColumn id="2" xr3:uid="{C02511A0-278D-4F13-8571-BCB16C82670A}" name="Date "/>
    <tableColumn id="3" xr3:uid="{AE9B6FDD-C00C-42D7-AF15-72E3CFCF58EF}" name="Investement Type"/>
    <tableColumn id="4" xr3:uid="{5CBF3994-E698-4FAD-9099-495C7C55328D}" name="Asset Name"/>
    <tableColumn id="5" xr3:uid="{FAED0127-9266-44AB-8BE5-E06D5D989457}" name="Amount" totalsRowDxfId="2"/>
    <tableColumn id="6" xr3:uid="{0AB39CC3-BB22-429E-869E-7620C3A9C7AE}" name="Quantity"/>
    <tableColumn id="7" xr3:uid="{EBFB4EA0-1444-4884-92BF-CD7F3A2ED9F9}" name="Investmet Balance" dataDxfId="1">
      <calculatedColumnFormula>(E2*F2)-G1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DA19DB-5C73-46CD-B802-F9B6C4FF9923}" name="Table1" displayName="Table1" ref="A1:D46" totalsRowShown="0">
  <autoFilter ref="A1:D46" xr:uid="{31DA19DB-5C73-46CD-B802-F9B6C4FF9923}"/>
  <tableColumns count="4">
    <tableColumn id="1" xr3:uid="{39172DBC-F288-45CB-85E9-2DE84C9B9122}" name="Month"/>
    <tableColumn id="2" xr3:uid="{C8CFDE8C-6B9C-4413-B23F-DD2838A6FBA9}" name="Date" dataDxfId="0"/>
    <tableColumn id="3" xr3:uid="{F22BB9E0-BE42-4CB2-937C-D56244B4DF5A}" name="Description"/>
    <tableColumn id="4" xr3:uid="{31CEBD2D-1C3E-4D86-B545-280FDDBD63F1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408D9-B45B-4E19-BFA0-A5FE25684FB0}">
  <sheetPr codeName="Sheet1"/>
  <dimension ref="A1:P11"/>
  <sheetViews>
    <sheetView topLeftCell="B1" workbookViewId="0">
      <selection activeCell="E6" sqref="E6"/>
    </sheetView>
  </sheetViews>
  <sheetFormatPr defaultRowHeight="14.5" x14ac:dyDescent="0.35"/>
  <cols>
    <col min="2" max="2" width="20.1796875" bestFit="1" customWidth="1"/>
    <col min="3" max="3" width="17.453125" bestFit="1" customWidth="1"/>
    <col min="4" max="4" width="18.08984375" bestFit="1" customWidth="1"/>
    <col min="5" max="5" width="18.1796875" bestFit="1" customWidth="1"/>
    <col min="15" max="15" width="20.1796875" bestFit="1" customWidth="1"/>
    <col min="16" max="16" width="4.81640625" bestFit="1" customWidth="1"/>
  </cols>
  <sheetData>
    <row r="1" spans="1:16" x14ac:dyDescent="0.35">
      <c r="A1" t="s">
        <v>11</v>
      </c>
      <c r="B1" t="s">
        <v>13</v>
      </c>
      <c r="C1" t="s">
        <v>14</v>
      </c>
      <c r="D1" t="s">
        <v>12</v>
      </c>
      <c r="E1" t="s">
        <v>15</v>
      </c>
    </row>
    <row r="2" spans="1:16" x14ac:dyDescent="0.35">
      <c r="A2" t="s">
        <v>10</v>
      </c>
      <c r="B2">
        <v>1825</v>
      </c>
      <c r="C2">
        <v>3000</v>
      </c>
      <c r="D2">
        <v>5000</v>
      </c>
      <c r="E2">
        <v>9825</v>
      </c>
    </row>
    <row r="8" spans="1:16" x14ac:dyDescent="0.35">
      <c r="O8" s="2" t="s">
        <v>21</v>
      </c>
    </row>
    <row r="9" spans="1:16" x14ac:dyDescent="0.35">
      <c r="O9" t="s">
        <v>19</v>
      </c>
      <c r="P9">
        <v>1825</v>
      </c>
    </row>
    <row r="10" spans="1:16" x14ac:dyDescent="0.35">
      <c r="O10" t="s">
        <v>20</v>
      </c>
      <c r="P10">
        <v>3000</v>
      </c>
    </row>
    <row r="11" spans="1:16" x14ac:dyDescent="0.35">
      <c r="O11" t="s">
        <v>22</v>
      </c>
      <c r="P11">
        <v>5000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075D-8E09-41DC-9BD0-1074B765D2B1}">
  <sheetPr codeName="Sheet3"/>
  <dimension ref="A1:K37"/>
  <sheetViews>
    <sheetView tabSelected="1" topLeftCell="A18" workbookViewId="0">
      <selection activeCell="F38" sqref="F38"/>
    </sheetView>
  </sheetViews>
  <sheetFormatPr defaultRowHeight="14.5" x14ac:dyDescent="0.35"/>
  <cols>
    <col min="1" max="1" width="9.08984375" customWidth="1"/>
    <col min="2" max="2" width="10.08984375" bestFit="1" customWidth="1"/>
    <col min="3" max="3" width="17.54296875" customWidth="1"/>
    <col min="4" max="4" width="15.1796875" bestFit="1" customWidth="1"/>
    <col min="5" max="5" width="9.36328125" customWidth="1"/>
    <col min="6" max="6" width="10" customWidth="1"/>
    <col min="7" max="7" width="18.26953125" customWidth="1"/>
    <col min="8" max="8" width="19.36328125" customWidth="1"/>
    <col min="9" max="9" width="12.6328125" bestFit="1" customWidth="1"/>
    <col min="10" max="10" width="11.7265625" bestFit="1" customWidth="1"/>
  </cols>
  <sheetData>
    <row r="1" spans="1:11" x14ac:dyDescent="0.35">
      <c r="A1" t="s">
        <v>9</v>
      </c>
      <c r="B1" t="s">
        <v>4</v>
      </c>
      <c r="C1" t="s">
        <v>5</v>
      </c>
      <c r="D1" t="s">
        <v>6</v>
      </c>
      <c r="E1" t="s">
        <v>2</v>
      </c>
      <c r="F1" t="s">
        <v>7</v>
      </c>
      <c r="G1" t="s">
        <v>8</v>
      </c>
      <c r="I1" t="s">
        <v>38</v>
      </c>
      <c r="J1" t="s">
        <v>29</v>
      </c>
      <c r="K1" t="s">
        <v>30</v>
      </c>
    </row>
    <row r="2" spans="1:11" x14ac:dyDescent="0.35">
      <c r="A2" s="3" t="s">
        <v>10</v>
      </c>
      <c r="B2" s="4">
        <v>45748</v>
      </c>
      <c r="C2" s="3" t="s">
        <v>24</v>
      </c>
      <c r="D2" s="3"/>
      <c r="E2" s="3">
        <v>4003</v>
      </c>
      <c r="F2" s="3">
        <v>1</v>
      </c>
      <c r="G2" s="3">
        <f>E2*F2</f>
        <v>4003</v>
      </c>
      <c r="I2">
        <f>1018-513-71-71-60-31-71-30</f>
        <v>171</v>
      </c>
      <c r="J2">
        <f>244+81+81+81+83+83+83+83+83</f>
        <v>902</v>
      </c>
      <c r="K2">
        <f>1000-325-81-81-83-83-83-83-83-83</f>
        <v>15</v>
      </c>
    </row>
    <row r="3" spans="1:11" x14ac:dyDescent="0.35">
      <c r="A3" t="s">
        <v>10</v>
      </c>
      <c r="B3" s="1">
        <v>45812</v>
      </c>
      <c r="C3" t="s">
        <v>16</v>
      </c>
      <c r="D3" t="s">
        <v>17</v>
      </c>
      <c r="E3">
        <v>859</v>
      </c>
      <c r="F3">
        <v>1</v>
      </c>
      <c r="G3">
        <f>G2-(E3*F3)</f>
        <v>3144</v>
      </c>
    </row>
    <row r="4" spans="1:11" x14ac:dyDescent="0.35">
      <c r="A4" t="s">
        <v>10</v>
      </c>
      <c r="B4" s="1">
        <v>45812</v>
      </c>
      <c r="C4" t="s">
        <v>16</v>
      </c>
      <c r="D4" t="s">
        <v>60</v>
      </c>
      <c r="E4">
        <v>67</v>
      </c>
      <c r="F4">
        <v>1</v>
      </c>
      <c r="G4">
        <f>G3-(E4*F4)</f>
        <v>3077</v>
      </c>
    </row>
    <row r="5" spans="1:11" x14ac:dyDescent="0.35">
      <c r="A5" t="s">
        <v>10</v>
      </c>
      <c r="B5" s="1">
        <v>45813</v>
      </c>
      <c r="C5" t="s">
        <v>16</v>
      </c>
      <c r="D5" t="s">
        <v>60</v>
      </c>
      <c r="E5">
        <v>67</v>
      </c>
      <c r="F5">
        <v>1</v>
      </c>
      <c r="G5">
        <f>G4-(E5*F5)</f>
        <v>3010</v>
      </c>
    </row>
    <row r="6" spans="1:11" x14ac:dyDescent="0.35">
      <c r="A6" t="s">
        <v>10</v>
      </c>
      <c r="B6" s="1">
        <v>45814</v>
      </c>
      <c r="C6" t="s">
        <v>27</v>
      </c>
      <c r="D6" t="s">
        <v>28</v>
      </c>
      <c r="E6">
        <v>82</v>
      </c>
      <c r="F6">
        <v>1</v>
      </c>
      <c r="G6">
        <f>G5-(E6*F6)</f>
        <v>2928</v>
      </c>
    </row>
    <row r="7" spans="1:11" x14ac:dyDescent="0.35">
      <c r="A7" t="s">
        <v>10</v>
      </c>
      <c r="B7" s="1">
        <v>45817</v>
      </c>
      <c r="C7" t="s">
        <v>27</v>
      </c>
      <c r="D7" t="s">
        <v>28</v>
      </c>
      <c r="E7">
        <v>81</v>
      </c>
      <c r="F7">
        <v>2</v>
      </c>
      <c r="G7">
        <f>G6-(E7*F7)</f>
        <v>2766</v>
      </c>
    </row>
    <row r="8" spans="1:11" x14ac:dyDescent="0.35">
      <c r="A8" t="s">
        <v>10</v>
      </c>
      <c r="B8" s="1">
        <v>45817</v>
      </c>
      <c r="C8" t="s">
        <v>27</v>
      </c>
      <c r="D8" t="s">
        <v>28</v>
      </c>
      <c r="E8">
        <v>81</v>
      </c>
      <c r="F8">
        <v>1</v>
      </c>
      <c r="G8">
        <f>G7-(E8*F8)</f>
        <v>2685</v>
      </c>
    </row>
    <row r="9" spans="1:11" x14ac:dyDescent="0.35">
      <c r="A9" t="s">
        <v>10</v>
      </c>
      <c r="B9" s="1">
        <v>45818</v>
      </c>
      <c r="C9" t="s">
        <v>27</v>
      </c>
      <c r="D9" t="s">
        <v>28</v>
      </c>
      <c r="E9">
        <v>81</v>
      </c>
      <c r="F9">
        <v>1</v>
      </c>
      <c r="G9">
        <f>G8-(E9*F9)</f>
        <v>2604</v>
      </c>
    </row>
    <row r="10" spans="1:11" x14ac:dyDescent="0.35">
      <c r="A10" t="s">
        <v>10</v>
      </c>
      <c r="B10" s="1">
        <v>45818</v>
      </c>
      <c r="C10" t="s">
        <v>16</v>
      </c>
      <c r="D10" t="s">
        <v>60</v>
      </c>
      <c r="E10">
        <v>73</v>
      </c>
      <c r="F10">
        <v>1</v>
      </c>
      <c r="G10">
        <f>G9-(E10*F10)</f>
        <v>2531</v>
      </c>
    </row>
    <row r="11" spans="1:11" x14ac:dyDescent="0.35">
      <c r="A11" t="s">
        <v>10</v>
      </c>
      <c r="B11" s="1">
        <v>45819</v>
      </c>
      <c r="C11" t="s">
        <v>16</v>
      </c>
      <c r="D11" t="s">
        <v>37</v>
      </c>
      <c r="E11">
        <v>429</v>
      </c>
      <c r="F11">
        <v>1</v>
      </c>
      <c r="G11">
        <f>G10-(E11*F11)</f>
        <v>2102</v>
      </c>
    </row>
    <row r="12" spans="1:11" x14ac:dyDescent="0.35">
      <c r="A12" t="s">
        <v>10</v>
      </c>
      <c r="B12" s="1">
        <v>45819</v>
      </c>
      <c r="C12" t="s">
        <v>27</v>
      </c>
      <c r="D12" t="s">
        <v>28</v>
      </c>
      <c r="E12">
        <v>81</v>
      </c>
      <c r="F12">
        <v>1</v>
      </c>
      <c r="G12">
        <f>G11-(E12*F12)</f>
        <v>2021</v>
      </c>
    </row>
    <row r="13" spans="1:11" x14ac:dyDescent="0.35">
      <c r="A13" t="s">
        <v>10</v>
      </c>
      <c r="B13" s="1">
        <v>45820</v>
      </c>
      <c r="C13" t="s">
        <v>16</v>
      </c>
      <c r="D13" t="s">
        <v>60</v>
      </c>
      <c r="E13">
        <v>71</v>
      </c>
      <c r="F13">
        <v>1</v>
      </c>
      <c r="G13">
        <f>G12-(E13*F13)</f>
        <v>1950</v>
      </c>
    </row>
    <row r="14" spans="1:11" x14ac:dyDescent="0.35">
      <c r="A14" t="s">
        <v>10</v>
      </c>
      <c r="B14" s="1">
        <v>45821</v>
      </c>
      <c r="C14" t="s">
        <v>16</v>
      </c>
      <c r="D14" t="s">
        <v>60</v>
      </c>
      <c r="E14">
        <v>71</v>
      </c>
      <c r="F14">
        <v>1</v>
      </c>
      <c r="G14">
        <f>G13-(E14*F14)</f>
        <v>1879</v>
      </c>
    </row>
    <row r="15" spans="1:11" x14ac:dyDescent="0.35">
      <c r="A15" t="s">
        <v>10</v>
      </c>
      <c r="B15" s="1">
        <v>45824</v>
      </c>
      <c r="C15" t="s">
        <v>16</v>
      </c>
      <c r="D15" t="s">
        <v>47</v>
      </c>
      <c r="E15">
        <v>30</v>
      </c>
      <c r="F15">
        <v>2</v>
      </c>
      <c r="G15">
        <f>G14-(E15*F15)</f>
        <v>1819</v>
      </c>
    </row>
    <row r="16" spans="1:11" x14ac:dyDescent="0.35">
      <c r="A16" t="s">
        <v>10</v>
      </c>
      <c r="B16" s="1">
        <v>45824</v>
      </c>
      <c r="C16" t="s">
        <v>16</v>
      </c>
      <c r="D16" t="s">
        <v>60</v>
      </c>
      <c r="E16">
        <v>71</v>
      </c>
      <c r="F16">
        <v>1</v>
      </c>
      <c r="G16">
        <f>G15-(E16*F16)</f>
        <v>1748</v>
      </c>
    </row>
    <row r="17" spans="1:7" x14ac:dyDescent="0.35">
      <c r="A17" t="s">
        <v>10</v>
      </c>
      <c r="B17" s="1">
        <v>45825</v>
      </c>
      <c r="C17" t="s">
        <v>27</v>
      </c>
      <c r="D17" t="s">
        <v>28</v>
      </c>
      <c r="E17">
        <v>83</v>
      </c>
      <c r="F17">
        <v>1</v>
      </c>
      <c r="G17">
        <f>G16-(E17*F17)</f>
        <v>1665</v>
      </c>
    </row>
    <row r="18" spans="1:7" x14ac:dyDescent="0.35">
      <c r="A18" t="s">
        <v>10</v>
      </c>
      <c r="B18" s="1">
        <v>45826</v>
      </c>
      <c r="C18" t="s">
        <v>16</v>
      </c>
      <c r="D18" t="s">
        <v>47</v>
      </c>
      <c r="E18">
        <v>31</v>
      </c>
      <c r="F18">
        <v>1</v>
      </c>
      <c r="G18">
        <f>G17-(E18*F18)</f>
        <v>1634</v>
      </c>
    </row>
    <row r="19" spans="1:7" x14ac:dyDescent="0.35">
      <c r="A19" t="s">
        <v>10</v>
      </c>
      <c r="B19" s="1">
        <v>45826</v>
      </c>
      <c r="C19" t="s">
        <v>27</v>
      </c>
      <c r="D19" t="s">
        <v>28</v>
      </c>
      <c r="E19">
        <v>83</v>
      </c>
      <c r="F19">
        <v>1</v>
      </c>
      <c r="G19">
        <f>G18-(E19*F19)</f>
        <v>1551</v>
      </c>
    </row>
    <row r="20" spans="1:7" x14ac:dyDescent="0.35">
      <c r="A20" t="s">
        <v>10</v>
      </c>
      <c r="B20" s="1">
        <v>45827</v>
      </c>
      <c r="C20" t="s">
        <v>27</v>
      </c>
      <c r="D20" t="s">
        <v>28</v>
      </c>
      <c r="E20">
        <v>83</v>
      </c>
      <c r="F20">
        <v>1</v>
      </c>
      <c r="G20">
        <f>G19-(E20*F20)</f>
        <v>1468</v>
      </c>
    </row>
    <row r="21" spans="1:7" x14ac:dyDescent="0.35">
      <c r="A21" t="s">
        <v>10</v>
      </c>
      <c r="B21" s="1">
        <v>45827</v>
      </c>
      <c r="C21" t="s">
        <v>16</v>
      </c>
      <c r="D21" t="s">
        <v>60</v>
      </c>
      <c r="E21">
        <v>71</v>
      </c>
      <c r="F21">
        <v>1</v>
      </c>
      <c r="G21">
        <f>G20-(E21*F21)</f>
        <v>1397</v>
      </c>
    </row>
    <row r="22" spans="1:7" x14ac:dyDescent="0.35">
      <c r="A22" t="s">
        <v>10</v>
      </c>
      <c r="B22" s="1">
        <v>45828</v>
      </c>
      <c r="C22" t="s">
        <v>27</v>
      </c>
      <c r="D22" t="s">
        <v>28</v>
      </c>
      <c r="E22">
        <v>83</v>
      </c>
      <c r="F22">
        <v>1</v>
      </c>
      <c r="G22">
        <f>G21-(E22*F22)</f>
        <v>1314</v>
      </c>
    </row>
    <row r="23" spans="1:7" x14ac:dyDescent="0.35">
      <c r="A23" t="s">
        <v>10</v>
      </c>
      <c r="B23" s="1">
        <v>45828</v>
      </c>
      <c r="C23" t="s">
        <v>16</v>
      </c>
      <c r="D23" t="s">
        <v>60</v>
      </c>
      <c r="E23">
        <v>70</v>
      </c>
      <c r="F23">
        <v>1</v>
      </c>
      <c r="G23">
        <f>G22-(E23*F23)</f>
        <v>1244</v>
      </c>
    </row>
    <row r="24" spans="1:7" x14ac:dyDescent="0.35">
      <c r="A24" t="s">
        <v>10</v>
      </c>
      <c r="B24" s="1">
        <v>45828</v>
      </c>
      <c r="C24" t="s">
        <v>27</v>
      </c>
      <c r="D24" t="s">
        <v>28</v>
      </c>
      <c r="E24">
        <v>83</v>
      </c>
      <c r="F24">
        <v>1</v>
      </c>
      <c r="G24">
        <f>G23-(E24*F24)</f>
        <v>1161</v>
      </c>
    </row>
    <row r="25" spans="1:7" x14ac:dyDescent="0.35">
      <c r="A25" t="s">
        <v>10</v>
      </c>
      <c r="B25" s="1">
        <v>45832</v>
      </c>
      <c r="C25" t="s">
        <v>27</v>
      </c>
      <c r="D25" t="s">
        <v>28</v>
      </c>
      <c r="E25">
        <v>83</v>
      </c>
      <c r="F25">
        <v>1</v>
      </c>
      <c r="G25">
        <f>G24-(E25*F25)</f>
        <v>1078</v>
      </c>
    </row>
    <row r="26" spans="1:7" x14ac:dyDescent="0.35">
      <c r="A26" t="s">
        <v>10</v>
      </c>
      <c r="B26" s="1">
        <v>45834</v>
      </c>
      <c r="C26" t="s">
        <v>16</v>
      </c>
      <c r="D26" t="s">
        <v>47</v>
      </c>
      <c r="E26">
        <v>31</v>
      </c>
      <c r="F26">
        <v>1</v>
      </c>
      <c r="G26">
        <f>G25-(E26*F26)</f>
        <v>1047</v>
      </c>
    </row>
    <row r="27" spans="1:7" x14ac:dyDescent="0.35">
      <c r="A27" t="s">
        <v>10</v>
      </c>
      <c r="B27" s="1">
        <v>45835</v>
      </c>
      <c r="C27" t="s">
        <v>16</v>
      </c>
      <c r="D27" t="s">
        <v>47</v>
      </c>
      <c r="E27">
        <v>31</v>
      </c>
      <c r="F27">
        <v>1</v>
      </c>
      <c r="G27">
        <f>G26-(E27*F27)</f>
        <v>1016</v>
      </c>
    </row>
    <row r="28" spans="1:7" x14ac:dyDescent="0.35">
      <c r="A28" t="s">
        <v>10</v>
      </c>
      <c r="B28" s="1">
        <v>45835</v>
      </c>
      <c r="C28" t="s">
        <v>27</v>
      </c>
      <c r="D28" t="s">
        <v>28</v>
      </c>
      <c r="E28">
        <v>81</v>
      </c>
      <c r="F28">
        <v>1</v>
      </c>
      <c r="G28">
        <f>G27-(E28*F28)</f>
        <v>935</v>
      </c>
    </row>
    <row r="29" spans="1:7" x14ac:dyDescent="0.35">
      <c r="A29" t="s">
        <v>10</v>
      </c>
      <c r="B29" s="1">
        <v>45835</v>
      </c>
      <c r="C29" t="s">
        <v>27</v>
      </c>
      <c r="D29" t="s">
        <v>28</v>
      </c>
      <c r="E29">
        <v>80</v>
      </c>
      <c r="F29">
        <v>2</v>
      </c>
      <c r="G29">
        <f>G28-(E29*F29)</f>
        <v>775</v>
      </c>
    </row>
    <row r="30" spans="1:7" x14ac:dyDescent="0.35">
      <c r="A30" t="s">
        <v>10</v>
      </c>
      <c r="B30" s="1">
        <v>45838</v>
      </c>
      <c r="C30" t="s">
        <v>27</v>
      </c>
      <c r="D30" t="s">
        <v>28</v>
      </c>
      <c r="E30">
        <v>80</v>
      </c>
      <c r="F30">
        <v>1</v>
      </c>
      <c r="G30">
        <f>G29-(E30*F30)</f>
        <v>695</v>
      </c>
    </row>
    <row r="31" spans="1:7" x14ac:dyDescent="0.35">
      <c r="A31" t="s">
        <v>59</v>
      </c>
      <c r="B31" s="1">
        <v>45840</v>
      </c>
      <c r="C31" t="s">
        <v>27</v>
      </c>
      <c r="D31" t="s">
        <v>28</v>
      </c>
      <c r="E31">
        <v>82</v>
      </c>
      <c r="F31">
        <v>1</v>
      </c>
      <c r="G31">
        <f>G30-(E31*F31)</f>
        <v>613</v>
      </c>
    </row>
    <row r="32" spans="1:7" x14ac:dyDescent="0.35">
      <c r="A32" t="s">
        <v>59</v>
      </c>
      <c r="B32" s="1">
        <v>45840</v>
      </c>
      <c r="C32" t="s">
        <v>16</v>
      </c>
      <c r="D32" t="s">
        <v>60</v>
      </c>
      <c r="E32">
        <v>78</v>
      </c>
      <c r="F32">
        <v>1</v>
      </c>
      <c r="G32">
        <f>G31-(E32*F32)</f>
        <v>535</v>
      </c>
    </row>
    <row r="33" spans="1:7" x14ac:dyDescent="0.35">
      <c r="A33" t="s">
        <v>59</v>
      </c>
      <c r="B33" s="1">
        <v>45840</v>
      </c>
      <c r="C33" t="s">
        <v>16</v>
      </c>
      <c r="D33" t="s">
        <v>37</v>
      </c>
      <c r="E33">
        <v>416</v>
      </c>
      <c r="F33">
        <v>1</v>
      </c>
      <c r="G33">
        <f>G32-(E33*F33)</f>
        <v>119</v>
      </c>
    </row>
    <row r="34" spans="1:7" x14ac:dyDescent="0.35">
      <c r="A34" t="s">
        <v>59</v>
      </c>
      <c r="B34" s="1">
        <v>45841</v>
      </c>
      <c r="C34" t="s">
        <v>27</v>
      </c>
      <c r="D34" t="s">
        <v>28</v>
      </c>
      <c r="E34">
        <v>82</v>
      </c>
      <c r="F34">
        <v>1</v>
      </c>
      <c r="G34">
        <f>G33-(E34*F34)</f>
        <v>37</v>
      </c>
    </row>
    <row r="35" spans="1:7" x14ac:dyDescent="0.35">
      <c r="A35" t="s">
        <v>59</v>
      </c>
      <c r="B35" s="1">
        <v>45845</v>
      </c>
      <c r="C35" t="s">
        <v>27</v>
      </c>
      <c r="D35" t="s">
        <v>28</v>
      </c>
      <c r="E35">
        <v>81</v>
      </c>
      <c r="F35">
        <v>1</v>
      </c>
      <c r="G35">
        <f>G34-(E35*F35)</f>
        <v>-44</v>
      </c>
    </row>
    <row r="36" spans="1:7" x14ac:dyDescent="0.35">
      <c r="A36" t="s">
        <v>59</v>
      </c>
      <c r="B36" s="1">
        <v>45847</v>
      </c>
      <c r="C36" t="s">
        <v>27</v>
      </c>
      <c r="D36" t="s">
        <v>28</v>
      </c>
      <c r="E36">
        <v>81</v>
      </c>
      <c r="F36">
        <v>2</v>
      </c>
      <c r="G36">
        <f>G35-(E36*F36)</f>
        <v>-206</v>
      </c>
    </row>
    <row r="37" spans="1:7" x14ac:dyDescent="0.35">
      <c r="A37" t="s">
        <v>59</v>
      </c>
      <c r="B37" s="1">
        <v>45848</v>
      </c>
      <c r="C37" t="s">
        <v>16</v>
      </c>
      <c r="D37" t="s">
        <v>47</v>
      </c>
      <c r="E37">
        <v>31</v>
      </c>
      <c r="F37">
        <v>1</v>
      </c>
      <c r="G37" s="10">
        <f>G36-(E37*F37)</f>
        <v>-237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FACFD-1237-4E98-8DA8-250D2BFD661B}">
  <sheetPr codeName="Sheet2"/>
  <dimension ref="A1:D46"/>
  <sheetViews>
    <sheetView topLeftCell="A31" workbookViewId="0">
      <selection activeCell="B44" sqref="B44"/>
    </sheetView>
  </sheetViews>
  <sheetFormatPr defaultRowHeight="14.5" x14ac:dyDescent="0.35"/>
  <cols>
    <col min="2" max="2" width="10.08984375" bestFit="1" customWidth="1"/>
    <col min="3" max="3" width="26" bestFit="1" customWidth="1"/>
    <col min="4" max="4" width="9.36328125" customWidth="1"/>
  </cols>
  <sheetData>
    <row r="1" spans="1:4" x14ac:dyDescent="0.35">
      <c r="A1" t="s">
        <v>9</v>
      </c>
      <c r="B1" t="s">
        <v>0</v>
      </c>
      <c r="C1" t="s">
        <v>1</v>
      </c>
      <c r="D1" t="s">
        <v>2</v>
      </c>
    </row>
    <row r="2" spans="1:4" x14ac:dyDescent="0.35">
      <c r="A2" t="s">
        <v>10</v>
      </c>
      <c r="B2" s="1">
        <v>45812</v>
      </c>
      <c r="C2" t="s">
        <v>3</v>
      </c>
      <c r="D2">
        <v>100</v>
      </c>
    </row>
    <row r="3" spans="1:4" x14ac:dyDescent="0.35">
      <c r="A3" t="s">
        <v>10</v>
      </c>
      <c r="B3" s="1">
        <v>45812</v>
      </c>
      <c r="C3" t="s">
        <v>18</v>
      </c>
      <c r="D3">
        <v>48</v>
      </c>
    </row>
    <row r="4" spans="1:4" x14ac:dyDescent="0.35">
      <c r="A4" t="s">
        <v>10</v>
      </c>
      <c r="B4" s="1">
        <v>45813</v>
      </c>
      <c r="C4" t="s">
        <v>23</v>
      </c>
      <c r="D4">
        <v>90</v>
      </c>
    </row>
    <row r="5" spans="1:4" x14ac:dyDescent="0.35">
      <c r="A5" t="s">
        <v>10</v>
      </c>
      <c r="B5" s="1">
        <v>45813</v>
      </c>
      <c r="C5" t="s">
        <v>25</v>
      </c>
      <c r="D5">
        <v>45</v>
      </c>
    </row>
    <row r="6" spans="1:4" x14ac:dyDescent="0.35">
      <c r="A6" t="s">
        <v>10</v>
      </c>
      <c r="B6" s="1">
        <v>45813</v>
      </c>
      <c r="C6" t="s">
        <v>26</v>
      </c>
      <c r="D6">
        <v>60</v>
      </c>
    </row>
    <row r="7" spans="1:4" x14ac:dyDescent="0.35">
      <c r="A7" t="s">
        <v>10</v>
      </c>
      <c r="B7" s="1">
        <v>45814</v>
      </c>
      <c r="C7" t="s">
        <v>31</v>
      </c>
      <c r="D7">
        <v>60</v>
      </c>
    </row>
    <row r="8" spans="1:4" x14ac:dyDescent="0.35">
      <c r="A8" t="s">
        <v>10</v>
      </c>
      <c r="B8" s="6">
        <v>45815</v>
      </c>
      <c r="C8" t="s">
        <v>32</v>
      </c>
      <c r="D8">
        <v>45</v>
      </c>
    </row>
    <row r="9" spans="1:4" x14ac:dyDescent="0.35">
      <c r="A9" s="5" t="s">
        <v>10</v>
      </c>
      <c r="B9" s="6">
        <v>45815</v>
      </c>
      <c r="C9" t="s">
        <v>34</v>
      </c>
      <c r="D9">
        <v>215</v>
      </c>
    </row>
    <row r="10" spans="1:4" x14ac:dyDescent="0.35">
      <c r="A10" t="s">
        <v>10</v>
      </c>
      <c r="B10" s="6">
        <v>45815</v>
      </c>
      <c r="C10" t="s">
        <v>33</v>
      </c>
      <c r="D10">
        <v>255</v>
      </c>
    </row>
    <row r="11" spans="1:4" x14ac:dyDescent="0.35">
      <c r="A11" t="s">
        <v>10</v>
      </c>
      <c r="B11" s="8">
        <v>45816</v>
      </c>
      <c r="C11" t="s">
        <v>23</v>
      </c>
      <c r="D11">
        <v>20</v>
      </c>
    </row>
    <row r="12" spans="1:4" x14ac:dyDescent="0.35">
      <c r="A12" t="s">
        <v>10</v>
      </c>
      <c r="B12" s="8">
        <v>45816</v>
      </c>
      <c r="C12" t="s">
        <v>35</v>
      </c>
      <c r="D12">
        <v>35</v>
      </c>
    </row>
    <row r="13" spans="1:4" x14ac:dyDescent="0.35">
      <c r="A13" t="s">
        <v>10</v>
      </c>
      <c r="B13" s="7">
        <v>45817</v>
      </c>
      <c r="C13" t="s">
        <v>36</v>
      </c>
      <c r="D13">
        <v>53</v>
      </c>
    </row>
    <row r="14" spans="1:4" x14ac:dyDescent="0.35">
      <c r="A14" t="s">
        <v>10</v>
      </c>
      <c r="B14" s="7">
        <v>45818</v>
      </c>
      <c r="C14" t="s">
        <v>39</v>
      </c>
      <c r="D14">
        <v>30</v>
      </c>
    </row>
    <row r="15" spans="1:4" x14ac:dyDescent="0.35">
      <c r="A15" t="s">
        <v>10</v>
      </c>
      <c r="B15" s="7">
        <v>45818</v>
      </c>
      <c r="C15" t="s">
        <v>23</v>
      </c>
      <c r="D15">
        <v>40</v>
      </c>
    </row>
    <row r="16" spans="1:4" x14ac:dyDescent="0.35">
      <c r="A16" t="s">
        <v>10</v>
      </c>
      <c r="B16" s="7">
        <v>45819</v>
      </c>
      <c r="C16" t="s">
        <v>40</v>
      </c>
      <c r="D16">
        <v>40</v>
      </c>
    </row>
    <row r="17" spans="1:4" x14ac:dyDescent="0.35">
      <c r="A17" t="s">
        <v>10</v>
      </c>
      <c r="B17" s="7">
        <v>45819</v>
      </c>
      <c r="C17" t="s">
        <v>41</v>
      </c>
      <c r="D17">
        <v>130</v>
      </c>
    </row>
    <row r="18" spans="1:4" x14ac:dyDescent="0.35">
      <c r="A18" t="s">
        <v>10</v>
      </c>
      <c r="B18" s="7">
        <v>45820</v>
      </c>
      <c r="C18" t="s">
        <v>40</v>
      </c>
      <c r="D18">
        <v>40</v>
      </c>
    </row>
    <row r="19" spans="1:4" x14ac:dyDescent="0.35">
      <c r="A19" t="s">
        <v>10</v>
      </c>
      <c r="B19" s="7">
        <v>45820</v>
      </c>
      <c r="C19" t="s">
        <v>42</v>
      </c>
      <c r="D19">
        <v>46</v>
      </c>
    </row>
    <row r="20" spans="1:4" x14ac:dyDescent="0.35">
      <c r="A20" t="s">
        <v>10</v>
      </c>
      <c r="B20" s="7">
        <v>45820</v>
      </c>
      <c r="C20" t="s">
        <v>43</v>
      </c>
      <c r="D20">
        <v>27</v>
      </c>
    </row>
    <row r="21" spans="1:4" x14ac:dyDescent="0.35">
      <c r="A21" t="s">
        <v>10</v>
      </c>
      <c r="B21" s="7">
        <v>45821</v>
      </c>
      <c r="C21" t="s">
        <v>35</v>
      </c>
      <c r="D21">
        <v>30</v>
      </c>
    </row>
    <row r="22" spans="1:4" x14ac:dyDescent="0.35">
      <c r="A22" t="s">
        <v>10</v>
      </c>
      <c r="B22" s="7">
        <v>45821</v>
      </c>
      <c r="C22" t="s">
        <v>44</v>
      </c>
      <c r="D22">
        <v>20</v>
      </c>
    </row>
    <row r="23" spans="1:4" x14ac:dyDescent="0.35">
      <c r="A23" t="s">
        <v>10</v>
      </c>
      <c r="B23" s="7">
        <v>45821</v>
      </c>
      <c r="C23" t="s">
        <v>23</v>
      </c>
      <c r="D23">
        <v>40</v>
      </c>
    </row>
    <row r="24" spans="1:4" x14ac:dyDescent="0.35">
      <c r="A24" t="s">
        <v>10</v>
      </c>
      <c r="B24" s="7">
        <v>45822</v>
      </c>
      <c r="C24" t="s">
        <v>45</v>
      </c>
      <c r="D24">
        <v>36</v>
      </c>
    </row>
    <row r="25" spans="1:4" x14ac:dyDescent="0.35">
      <c r="A25" t="s">
        <v>10</v>
      </c>
      <c r="B25" s="7">
        <v>45823</v>
      </c>
      <c r="C25" t="s">
        <v>23</v>
      </c>
      <c r="D25">
        <v>20</v>
      </c>
    </row>
    <row r="26" spans="1:4" x14ac:dyDescent="0.35">
      <c r="A26" t="s">
        <v>10</v>
      </c>
      <c r="B26" s="7">
        <v>45823</v>
      </c>
      <c r="C26" t="s">
        <v>43</v>
      </c>
      <c r="D26">
        <v>6</v>
      </c>
    </row>
    <row r="27" spans="1:4" x14ac:dyDescent="0.35">
      <c r="A27" t="s">
        <v>10</v>
      </c>
      <c r="B27" s="7">
        <v>45823</v>
      </c>
      <c r="C27" t="s">
        <v>46</v>
      </c>
      <c r="D27">
        <v>120</v>
      </c>
    </row>
    <row r="28" spans="1:4" x14ac:dyDescent="0.35">
      <c r="A28" t="s">
        <v>10</v>
      </c>
      <c r="B28" s="7">
        <v>45823</v>
      </c>
      <c r="C28" t="s">
        <v>35</v>
      </c>
      <c r="D28">
        <v>20</v>
      </c>
    </row>
    <row r="29" spans="1:4" x14ac:dyDescent="0.35">
      <c r="A29" t="s">
        <v>10</v>
      </c>
      <c r="B29" s="8">
        <v>45824</v>
      </c>
      <c r="C29" t="s">
        <v>23</v>
      </c>
      <c r="D29">
        <v>20</v>
      </c>
    </row>
    <row r="30" spans="1:4" x14ac:dyDescent="0.35">
      <c r="A30" t="s">
        <v>48</v>
      </c>
      <c r="B30" s="9">
        <v>45824</v>
      </c>
      <c r="C30" t="s">
        <v>49</v>
      </c>
      <c r="D30">
        <v>1349</v>
      </c>
    </row>
    <row r="31" spans="1:4" x14ac:dyDescent="0.35">
      <c r="A31" t="s">
        <v>48</v>
      </c>
      <c r="B31" s="9">
        <v>45825</v>
      </c>
      <c r="C31" t="s">
        <v>50</v>
      </c>
      <c r="D31">
        <v>90</v>
      </c>
    </row>
    <row r="32" spans="1:4" x14ac:dyDescent="0.35">
      <c r="A32" t="s">
        <v>10</v>
      </c>
      <c r="B32" s="9">
        <v>45825</v>
      </c>
      <c r="C32" t="s">
        <v>23</v>
      </c>
      <c r="D32">
        <v>40</v>
      </c>
    </row>
    <row r="33" spans="1:4" x14ac:dyDescent="0.35">
      <c r="A33" t="s">
        <v>10</v>
      </c>
      <c r="B33" s="9">
        <v>45826</v>
      </c>
      <c r="C33" t="s">
        <v>23</v>
      </c>
      <c r="D33">
        <v>40</v>
      </c>
    </row>
    <row r="34" spans="1:4" x14ac:dyDescent="0.35">
      <c r="A34" t="s">
        <v>10</v>
      </c>
      <c r="B34" s="9">
        <v>45826</v>
      </c>
      <c r="C34" t="s">
        <v>51</v>
      </c>
      <c r="D34">
        <v>79</v>
      </c>
    </row>
    <row r="35" spans="1:4" x14ac:dyDescent="0.35">
      <c r="A35" t="s">
        <v>10</v>
      </c>
      <c r="B35" s="9">
        <v>45827</v>
      </c>
      <c r="C35" t="s">
        <v>44</v>
      </c>
      <c r="D35">
        <v>20</v>
      </c>
    </row>
    <row r="36" spans="1:4" x14ac:dyDescent="0.35">
      <c r="A36" t="s">
        <v>10</v>
      </c>
      <c r="B36" s="9">
        <v>45827</v>
      </c>
      <c r="C36" t="s">
        <v>23</v>
      </c>
      <c r="D36">
        <v>20</v>
      </c>
    </row>
    <row r="37" spans="1:4" x14ac:dyDescent="0.35">
      <c r="A37" t="s">
        <v>10</v>
      </c>
      <c r="B37" s="9">
        <v>45827</v>
      </c>
      <c r="C37" t="s">
        <v>52</v>
      </c>
      <c r="D37">
        <v>130</v>
      </c>
    </row>
    <row r="38" spans="1:4" x14ac:dyDescent="0.35">
      <c r="A38" t="s">
        <v>10</v>
      </c>
      <c r="B38" s="9">
        <v>45828</v>
      </c>
      <c r="C38" t="s">
        <v>25</v>
      </c>
      <c r="D38">
        <v>28.22</v>
      </c>
    </row>
    <row r="39" spans="1:4" x14ac:dyDescent="0.35">
      <c r="A39" t="s">
        <v>10</v>
      </c>
      <c r="B39" s="9">
        <v>45828</v>
      </c>
      <c r="C39" t="s">
        <v>53</v>
      </c>
      <c r="D39">
        <v>130</v>
      </c>
    </row>
    <row r="40" spans="1:4" x14ac:dyDescent="0.35">
      <c r="A40" t="s">
        <v>10</v>
      </c>
      <c r="B40" s="9">
        <v>45828</v>
      </c>
      <c r="C40" t="s">
        <v>54</v>
      </c>
    </row>
    <row r="41" spans="1:4" x14ac:dyDescent="0.35">
      <c r="A41" t="s">
        <v>10</v>
      </c>
      <c r="B41" s="9">
        <v>45828</v>
      </c>
      <c r="C41" t="s">
        <v>55</v>
      </c>
      <c r="D41">
        <v>130</v>
      </c>
    </row>
    <row r="42" spans="1:4" x14ac:dyDescent="0.35">
      <c r="A42" t="s">
        <v>10</v>
      </c>
      <c r="B42" s="9">
        <v>45828</v>
      </c>
      <c r="C42" t="s">
        <v>56</v>
      </c>
      <c r="D42">
        <v>10</v>
      </c>
    </row>
    <row r="43" spans="1:4" x14ac:dyDescent="0.35">
      <c r="A43" t="s">
        <v>10</v>
      </c>
      <c r="B43" s="9">
        <v>45829</v>
      </c>
      <c r="C43" t="s">
        <v>25</v>
      </c>
      <c r="D43">
        <v>30</v>
      </c>
    </row>
    <row r="44" spans="1:4" x14ac:dyDescent="0.35">
      <c r="A44" t="s">
        <v>10</v>
      </c>
      <c r="B44" s="9">
        <v>45830</v>
      </c>
      <c r="C44" t="s">
        <v>57</v>
      </c>
      <c r="D44">
        <v>120</v>
      </c>
    </row>
    <row r="45" spans="1:4" x14ac:dyDescent="0.35">
      <c r="A45" t="s">
        <v>10</v>
      </c>
      <c r="B45" s="9">
        <v>45831</v>
      </c>
      <c r="C45" t="s">
        <v>41</v>
      </c>
      <c r="D45">
        <v>130</v>
      </c>
    </row>
    <row r="46" spans="1:4" x14ac:dyDescent="0.35">
      <c r="A46" t="s">
        <v>10</v>
      </c>
      <c r="B46" s="9">
        <v>45832</v>
      </c>
      <c r="C46" t="s">
        <v>58</v>
      </c>
      <c r="D46">
        <v>120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Balance sheet</vt:lpstr>
      <vt:lpstr>Investment Expenses</vt:lpstr>
      <vt:lpstr>Personal Expenses</vt:lpstr>
    </vt:vector>
  </TitlesOfParts>
  <Company>Cognizant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LNU, Vetrivel (Contractor)</dc:creator>
  <cp:lastModifiedBy>LNU, Vetrivel (Contractor)</cp:lastModifiedBy>
  <dcterms:created xsi:type="dcterms:W3CDTF">2025-06-04T04:24:27Z</dcterms:created>
  <dcterms:modified xsi:type="dcterms:W3CDTF">2025-07-10T04:56:12Z</dcterms:modified>
</cp:coreProperties>
</file>